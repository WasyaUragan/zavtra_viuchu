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<sst xmlns="http://schemas.openxmlformats.org/spreadsheetml/2006/main" count="18" uniqueCount="18">
  <si>
    <t xml:space="preserve">заезд</t>
  </si>
  <si>
    <t xml:space="preserve">ноябрь</t>
  </si>
  <si>
    <t xml:space="preserve">декабрь</t>
  </si>
  <si>
    <t xml:space="preserve">январь</t>
  </si>
  <si>
    <t xml:space="preserve">февраль</t>
  </si>
  <si>
    <t xml:space="preserve">март(плата за апрель)</t>
  </si>
  <si>
    <t xml:space="preserve">гвс</t>
  </si>
  <si>
    <t xml:space="preserve">хвс</t>
  </si>
  <si>
    <t xml:space="preserve">эл ночь</t>
  </si>
  <si>
    <t xml:space="preserve">эл пик</t>
  </si>
  <si>
    <t xml:space="preserve">эл полупик</t>
  </si>
  <si>
    <t xml:space="preserve">отопление</t>
  </si>
  <si>
    <t xml:space="preserve">интернет</t>
  </si>
  <si>
    <t xml:space="preserve">Итог месяц</t>
  </si>
  <si>
    <t xml:space="preserve">Итог всего</t>
  </si>
  <si>
    <t xml:space="preserve">Аренда</t>
  </si>
  <si>
    <t xml:space="preserve">Заплатил</t>
  </si>
  <si>
    <t xml:space="preserve">Баланс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</si>
</sst>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#.00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" activeCellId="0" sqref="F1"/>
    </sheetView>
  </sheetViews>
  <sheetFormatPr defaultColWidth="11.54296875" defaultRowHeight="12.75" zeroHeight="false" outlineLevelRow="0" outlineLevelCol="0"/>
  <cols>
    <col collapsed="false" customWidth="true" hidden="false" outlineLevel="0" max="2" min="2" style="0" width="8.73"/>
    <col collapsed="false" customWidth="true" hidden="false" outlineLevel="0" max="7" min="7" style="1" width="12.09"/>
  </cols>
  <sheetData>
    <row r="1" customFormat="false" ht="23.85" hidden="false" customHeight="false" outlineLevel="0" collapsed="false">
      <c r="A1" s="2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 t="s">
        <v>5</v>
      </c>
      <c r="H1" s="5"/>
    </row>
    <row r="2" customFormat="false" ht="13.15" hidden="false" customHeight="false" outlineLevel="0" collapsed="false">
      <c r="A2" s="3" t="s">
        <v>6</v>
      </c>
      <c r="B2" s="2"/>
      <c r="C2" s="6" t="n">
        <v>573.24</v>
      </c>
      <c r="D2" s="6" t="n">
        <v>770.09</v>
      </c>
      <c r="E2" s="6" t="n">
        <v>815.32</v>
      </c>
      <c r="F2" s="2" t="n">
        <v>643.4</v>
      </c>
      <c r="G2" s="7" t="n">
        <v>480.48</v>
      </c>
    </row>
    <row r="3" customFormat="false" ht="13.15" hidden="false" customHeight="false" outlineLevel="0" collapsed="false">
      <c r="A3" s="3" t="s">
        <v>7</v>
      </c>
      <c r="B3" s="2"/>
      <c r="C3" s="6" t="n">
        <v>122.59</v>
      </c>
      <c r="D3" s="6" t="n">
        <v>184.01</v>
      </c>
      <c r="E3" s="6" t="n">
        <v>204.64</v>
      </c>
      <c r="F3" s="2" t="n">
        <v>154.27</v>
      </c>
      <c r="G3" s="7" t="n">
        <v>124.17</v>
      </c>
    </row>
    <row r="4" customFormat="false" ht="13.15" hidden="false" customHeight="false" outlineLevel="0" collapsed="false">
      <c r="A4" s="3" t="s">
        <v>8</v>
      </c>
      <c r="B4" s="2"/>
      <c r="C4" s="6" t="n">
        <v>27.56</v>
      </c>
      <c r="D4" s="6" t="n">
        <v>26.2</v>
      </c>
      <c r="E4" s="6" t="n">
        <v>37.81</v>
      </c>
      <c r="F4" s="2" t="n">
        <v>33.77</v>
      </c>
      <c r="G4" s="7" t="n">
        <v>37.68</v>
      </c>
    </row>
    <row r="5" customFormat="false" ht="13.15" hidden="false" customHeight="false" outlineLevel="0" collapsed="false">
      <c r="A5" s="3" t="s">
        <v>9</v>
      </c>
      <c r="B5" s="2"/>
      <c r="C5" s="6" t="n">
        <v>95.84</v>
      </c>
      <c r="D5" s="6" t="n">
        <v>172.5</v>
      </c>
      <c r="E5" s="6" t="n">
        <v>217.68</v>
      </c>
      <c r="F5" s="2" t="n">
        <v>170.53</v>
      </c>
      <c r="G5" s="7" t="n">
        <v>176.7</v>
      </c>
    </row>
    <row r="6" customFormat="false" ht="13.15" hidden="false" customHeight="false" outlineLevel="0" collapsed="false">
      <c r="A6" s="3" t="s">
        <v>10</v>
      </c>
      <c r="B6" s="2"/>
      <c r="C6" s="6" t="n">
        <v>91.77</v>
      </c>
      <c r="D6" s="6" t="n">
        <v>126.56</v>
      </c>
      <c r="E6" s="6" t="n">
        <v>158.03</v>
      </c>
      <c r="F6" s="2" t="n">
        <v>142.52</v>
      </c>
      <c r="G6" s="7" t="n">
        <v>121.75</v>
      </c>
    </row>
    <row r="7" customFormat="false" ht="13.15" hidden="false" customHeight="false" outlineLevel="0" collapsed="false">
      <c r="A7" s="3" t="s">
        <v>11</v>
      </c>
      <c r="B7" s="2"/>
      <c r="C7" s="6" t="n">
        <v>1365.09</v>
      </c>
      <c r="D7" s="6" t="n">
        <v>1481.12</v>
      </c>
      <c r="E7" s="6" t="n">
        <v>1481.12</v>
      </c>
      <c r="F7" s="2" t="n">
        <v>1481.12</v>
      </c>
      <c r="G7" s="7" t="n">
        <v>1481.12</v>
      </c>
    </row>
    <row r="8" customFormat="false" ht="13.15" hidden="false" customHeight="false" outlineLevel="0" collapsed="false">
      <c r="A8" s="3" t="s">
        <v>12</v>
      </c>
      <c r="B8" s="2"/>
      <c r="C8" s="2" t="n">
        <v>850</v>
      </c>
      <c r="D8" s="2" t="n">
        <v>850</v>
      </c>
      <c r="E8" s="2" t="n">
        <v>850</v>
      </c>
      <c r="F8" s="2" t="n">
        <v>850</v>
      </c>
      <c r="G8" s="8" t="n">
        <v>850</v>
      </c>
    </row>
    <row r="9" customFormat="false" ht="13.15" hidden="false" customHeight="false" outlineLevel="0" collapsed="false">
      <c r="A9" s="3" t="s">
        <v>13</v>
      </c>
      <c r="B9" s="2"/>
      <c r="C9" s="2" t="n">
        <f aca="false">SUM(C2:C8)</f>
        <v>3126.09</v>
      </c>
      <c r="D9" s="6" t="n">
        <f aca="false">SUM(D2:D8)</f>
        <v>3610.48</v>
      </c>
      <c r="E9" s="2" t="n">
        <f aca="false">SUM(E2:E8)</f>
        <v>3764.6</v>
      </c>
      <c r="F9" s="2" t="n">
        <f aca="false">SUM(F2:F8)</f>
        <v>3475.61</v>
      </c>
      <c r="G9" s="7" t="n">
        <f aca="false">SUM(G2:G8)</f>
        <v>3271.9</v>
      </c>
    </row>
    <row r="10" customFormat="false" ht="13.15" hidden="false" customHeight="false" outlineLevel="0" collapsed="false">
      <c r="A10" s="3" t="s">
        <v>14</v>
      </c>
      <c r="B10" s="2"/>
      <c r="C10" s="2" t="n">
        <f aca="false">SUM(C9+D9+E9+F9+G9)</f>
        <v>17248.68</v>
      </c>
      <c r="D10" s="2"/>
      <c r="E10" s="2"/>
      <c r="F10" s="2"/>
      <c r="G10" s="7"/>
    </row>
    <row r="11" customFormat="false" ht="13.15" hidden="false" customHeight="false" outlineLevel="0" collapsed="false">
      <c r="A11" s="3" t="s">
        <v>15</v>
      </c>
      <c r="B11" s="2" t="n">
        <v>94000</v>
      </c>
      <c r="C11" s="2" t="n">
        <v>47000</v>
      </c>
      <c r="D11" s="2" t="n">
        <v>47000</v>
      </c>
      <c r="E11" s="2" t="n">
        <v>47000</v>
      </c>
      <c r="F11" s="2" t="n">
        <v>47000</v>
      </c>
      <c r="G11" s="8" t="n">
        <v>47000</v>
      </c>
    </row>
    <row r="12" customFormat="false" ht="13.15" hidden="false" customHeight="false" outlineLevel="0" collapsed="false">
      <c r="A12" s="3" t="s">
        <v>16</v>
      </c>
      <c r="B12" s="2" t="n">
        <v>94000</v>
      </c>
      <c r="C12" s="2" t="n">
        <v>47850</v>
      </c>
      <c r="D12" s="2" t="n">
        <v>60000</v>
      </c>
      <c r="E12" s="2" t="n">
        <v>47000</v>
      </c>
      <c r="F12" s="2" t="n">
        <v>48000</v>
      </c>
      <c r="G12" s="8" t="n">
        <v>50000</v>
      </c>
    </row>
    <row r="14" customFormat="false" ht="13.15" hidden="false" customHeight="false" outlineLevel="0" collapsed="false">
      <c r="A14" s="3" t="s">
        <v>17</v>
      </c>
      <c r="B14" s="9" t="n">
        <f aca="false">SUM(C12+D12+E12+F12+G12)-SUM(C11+D11+E11+F11+G11)-SUM(C10)</f>
        <v>601.32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2023-02-08T11:04:59Z</dcterms:created>
  <dc:creator/>
  <dc:description/>
  <dc:language>en-US</dc:language>
  <cp:lastModifiedBy/>
  <dcterms:modified xsi:type="dcterms:W3CDTF">2023-04-14T11:34:09Z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