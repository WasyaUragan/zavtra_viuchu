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lyaz\OneDrive\Desktop\zavtra_viuchu\"/>
    </mc:Choice>
  </mc:AlternateContent>
  <bookViews>
    <workbookView xWindow="0" yWindow="0" windowWidth="16388" windowHeight="8190" tabRatio="500"/>
  </bookViews>
  <sheets>
    <sheet name="Sheet1" sheetId="1" r:id="rId1"/>
  </sheets>
  <calcPr calcId="152511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9" i="1" l="1"/>
  <c r="E9" i="1"/>
  <c r="D9" i="1"/>
  <c r="C9" i="1"/>
  <c r="C10" i="1" s="1"/>
  <c r="B14" i="1" s="1"/>
</calcChain>
</file>

<file path=xl/sharedStrings.xml><?xml version="1.0" encoding="utf-8"?>
<sst xmlns="http://schemas.openxmlformats.org/spreadsheetml/2006/main" count="18" uniqueCount="18">
  <si>
    <t>заезд</t>
  </si>
  <si>
    <t>ноябрь</t>
  </si>
  <si>
    <t>декабрь</t>
  </si>
  <si>
    <t>январь</t>
  </si>
  <si>
    <t>февраль</t>
  </si>
  <si>
    <t>гвс</t>
  </si>
  <si>
    <t>хвс</t>
  </si>
  <si>
    <t>эл ночь</t>
  </si>
  <si>
    <t>эл пик</t>
  </si>
  <si>
    <t>эл полупик</t>
  </si>
  <si>
    <t>отопление</t>
  </si>
  <si>
    <t>интернет</t>
  </si>
  <si>
    <t>Итог месяц</t>
  </si>
  <si>
    <t>Итог всего</t>
  </si>
  <si>
    <t>Аренда</t>
  </si>
  <si>
    <t>Заплатил</t>
  </si>
  <si>
    <t>Баланс</t>
  </si>
  <si>
    <t>март(плата за апрель)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</si>
</sst>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.00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0" fontId="1" fillId="2" borderId="1" xfId="0" applyFont="1" applyFill="1" applyBorder="1"/>
    <xf numFmtId="0" fontId="1" fillId="0" borderId="2" xfId="0" applyFont="1" applyFill="1" applyBorder="1"/>
    <xf numFmtId="0" fontId="0" fillId="0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zoomScaleNormal="100" workbookViewId="0">
      <selection activeCell="H5" sqref="H5"/>
    </sheetView>
  </sheetViews>
  <sheetFormatPr defaultColWidth="11.53125" defaultRowHeight="12.75" x14ac:dyDescent="0.35"/>
  <cols>
    <col min="2" max="2" width="8.73046875" customWidth="1"/>
  </cols>
  <sheetData>
    <row r="1" spans="1:8" ht="13.15" x14ac:dyDescent="0.4">
      <c r="A1" s="1"/>
      <c r="B1" s="2" t="s">
        <v>0</v>
      </c>
      <c r="C1" s="2" t="s">
        <v>1</v>
      </c>
      <c r="D1" s="2" t="s">
        <v>2</v>
      </c>
      <c r="E1" s="2" t="s">
        <v>3</v>
      </c>
      <c r="F1" s="1" t="s">
        <v>4</v>
      </c>
      <c r="G1" s="5" t="s">
        <v>17</v>
      </c>
      <c r="H1" s="5"/>
    </row>
    <row r="2" spans="1:8" ht="13.15" x14ac:dyDescent="0.4">
      <c r="A2" s="2" t="s">
        <v>5</v>
      </c>
      <c r="B2" s="1"/>
      <c r="C2" s="3">
        <v>573.24</v>
      </c>
      <c r="D2" s="3">
        <v>770.09</v>
      </c>
      <c r="E2" s="3">
        <v>815.32</v>
      </c>
      <c r="F2" s="1">
        <v>643.4</v>
      </c>
    </row>
    <row r="3" spans="1:8" ht="13.15" x14ac:dyDescent="0.4">
      <c r="A3" s="2" t="s">
        <v>6</v>
      </c>
      <c r="B3" s="1"/>
      <c r="C3" s="3">
        <v>122.59</v>
      </c>
      <c r="D3" s="3">
        <v>184.01</v>
      </c>
      <c r="E3" s="3">
        <v>204.64</v>
      </c>
      <c r="F3" s="1">
        <v>154.27000000000001</v>
      </c>
    </row>
    <row r="4" spans="1:8" ht="13.15" x14ac:dyDescent="0.4">
      <c r="A4" s="2" t="s">
        <v>7</v>
      </c>
      <c r="B4" s="1"/>
      <c r="C4" s="3">
        <v>27.56</v>
      </c>
      <c r="D4" s="3">
        <v>26.2</v>
      </c>
      <c r="E4" s="3">
        <v>37.81</v>
      </c>
      <c r="F4" s="1">
        <v>33.770000000000003</v>
      </c>
    </row>
    <row r="5" spans="1:8" ht="13.15" x14ac:dyDescent="0.4">
      <c r="A5" s="2" t="s">
        <v>8</v>
      </c>
      <c r="B5" s="1"/>
      <c r="C5" s="3">
        <v>95.84</v>
      </c>
      <c r="D5" s="3">
        <v>172.5</v>
      </c>
      <c r="E5" s="3">
        <v>217.68</v>
      </c>
      <c r="F5" s="1">
        <v>170.53</v>
      </c>
    </row>
    <row r="6" spans="1:8" ht="13.15" x14ac:dyDescent="0.4">
      <c r="A6" s="2" t="s">
        <v>9</v>
      </c>
      <c r="B6" s="1"/>
      <c r="C6" s="3">
        <v>91.77</v>
      </c>
      <c r="D6" s="3">
        <v>126.56</v>
      </c>
      <c r="E6" s="3">
        <v>158.03</v>
      </c>
      <c r="F6" s="1">
        <v>142.52000000000001</v>
      </c>
    </row>
    <row r="7" spans="1:8" ht="13.15" x14ac:dyDescent="0.4">
      <c r="A7" s="2" t="s">
        <v>10</v>
      </c>
      <c r="B7" s="1"/>
      <c r="C7" s="3">
        <v>1365.09</v>
      </c>
      <c r="D7" s="3">
        <v>1481.12</v>
      </c>
      <c r="E7" s="3">
        <v>1481.12</v>
      </c>
      <c r="F7" s="1">
        <v>1481.12</v>
      </c>
    </row>
    <row r="8" spans="1:8" ht="13.15" x14ac:dyDescent="0.4">
      <c r="A8" s="2" t="s">
        <v>11</v>
      </c>
      <c r="B8" s="1"/>
      <c r="C8" s="1">
        <v>850</v>
      </c>
      <c r="D8" s="1">
        <v>850</v>
      </c>
      <c r="E8" s="1">
        <v>850</v>
      </c>
      <c r="F8" s="1">
        <v>850</v>
      </c>
      <c r="G8" s="6">
        <v>850</v>
      </c>
    </row>
    <row r="9" spans="1:8" ht="13.15" x14ac:dyDescent="0.4">
      <c r="A9" s="2" t="s">
        <v>12</v>
      </c>
      <c r="B9" s="1"/>
      <c r="C9" s="1">
        <f>SUM(C2:C8)</f>
        <v>3126.09</v>
      </c>
      <c r="D9" s="3">
        <f>SUM(D2:D8)</f>
        <v>3610.48</v>
      </c>
      <c r="E9" s="1">
        <f>SUM(E2:E8)</f>
        <v>3764.6</v>
      </c>
      <c r="F9" s="1">
        <f>SUM(F2:F8)</f>
        <v>3475.6099999999997</v>
      </c>
    </row>
    <row r="10" spans="1:8" ht="13.15" x14ac:dyDescent="0.4">
      <c r="A10" s="2" t="s">
        <v>13</v>
      </c>
      <c r="B10" s="1"/>
      <c r="C10" s="1">
        <f>SUM(C9+D9+E9+F9)</f>
        <v>13976.779999999999</v>
      </c>
      <c r="D10" s="1"/>
      <c r="E10" s="1"/>
      <c r="F10" s="1"/>
    </row>
    <row r="11" spans="1:8" ht="13.15" x14ac:dyDescent="0.4">
      <c r="A11" s="2" t="s">
        <v>14</v>
      </c>
      <c r="B11" s="1">
        <v>94000</v>
      </c>
      <c r="C11" s="1">
        <v>47000</v>
      </c>
      <c r="D11" s="1">
        <v>47000</v>
      </c>
      <c r="E11" s="1">
        <v>47000</v>
      </c>
      <c r="F11" s="1">
        <v>47000</v>
      </c>
      <c r="G11" s="6">
        <v>47000</v>
      </c>
    </row>
    <row r="12" spans="1:8" ht="13.15" x14ac:dyDescent="0.4">
      <c r="A12" s="2" t="s">
        <v>15</v>
      </c>
      <c r="B12" s="1">
        <v>94000</v>
      </c>
      <c r="C12" s="1">
        <v>47850</v>
      </c>
      <c r="D12" s="1">
        <v>60000</v>
      </c>
      <c r="E12" s="1">
        <v>47000</v>
      </c>
      <c r="F12" s="1">
        <v>48000</v>
      </c>
      <c r="G12" s="6">
        <v>50000</v>
      </c>
    </row>
    <row r="14" spans="1:8" ht="13.15" x14ac:dyDescent="0.4">
      <c r="A14" s="2" t="s">
        <v>16</v>
      </c>
      <c r="B14" s="4">
        <f>SUM(C12+D12+E12+F12)-SUM(C11+D11+E11+F11)-SUM(C10)</f>
        <v>873.22000000000116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Илья Жужуков</cp:lastModifiedBy>
  <cp:revision>6</cp:revision>
  <dcterms:created xsi:type="dcterms:W3CDTF">2023-02-08T11:04:59Z</dcterms:created>
  <dcterms:modified xsi:type="dcterms:W3CDTF">2023-04-09T06:22:00Z</dcterms:modified>
  <dc:language>en-US</dc:language>
</cp:coreProperties>
</file>